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AVITRA\Downloads\"/>
    </mc:Choice>
  </mc:AlternateContent>
  <xr:revisionPtr revIDLastSave="0" documentId="13_ncr:1_{3E4E88BD-47F5-46C2-B6E4-4191198F6D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  <sheet name="Updated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J21" i="3" l="1"/>
  <c r="J19" i="3"/>
  <c r="J17" i="3"/>
  <c r="J15" i="3"/>
  <c r="J13" i="3"/>
  <c r="J11" i="3"/>
  <c r="J9" i="3"/>
  <c r="J7" i="3"/>
  <c r="J5" i="3"/>
  <c r="J3" i="3"/>
  <c r="G3" i="2"/>
  <c r="J3" i="2" s="1"/>
  <c r="G4" i="2"/>
  <c r="J4" i="2" s="1"/>
  <c r="G5" i="2"/>
  <c r="J5" i="2" s="1"/>
  <c r="G6" i="2"/>
  <c r="J6" i="2" s="1"/>
  <c r="G7" i="2"/>
  <c r="J7" i="2" s="1"/>
  <c r="G8" i="2"/>
  <c r="J8" i="2" s="1"/>
  <c r="G9" i="2"/>
  <c r="J9" i="2" s="1"/>
  <c r="G10" i="2"/>
  <c r="J10" i="2" s="1"/>
  <c r="G11" i="2"/>
  <c r="J11" i="2" s="1"/>
  <c r="G12" i="2"/>
  <c r="J12" i="2" s="1"/>
  <c r="G13" i="2"/>
  <c r="J13" i="2" s="1"/>
  <c r="G14" i="2"/>
  <c r="J14" i="2" s="1"/>
  <c r="G15" i="2"/>
  <c r="J15" i="2" s="1"/>
  <c r="G16" i="2"/>
  <c r="J16" i="2" s="1"/>
  <c r="G17" i="2"/>
  <c r="J17" i="2" s="1"/>
  <c r="G18" i="2"/>
  <c r="J18" i="2" s="1"/>
  <c r="G19" i="2"/>
  <c r="J19" i="2" s="1"/>
  <c r="G20" i="2"/>
  <c r="J20" i="2" s="1"/>
  <c r="G21" i="2"/>
  <c r="J21" i="2" s="1"/>
  <c r="G22" i="2"/>
  <c r="J22" i="2" s="1"/>
  <c r="G2" i="2"/>
  <c r="J2" i="2" s="1"/>
  <c r="J4" i="3"/>
  <c r="J6" i="3"/>
  <c r="J8" i="3"/>
  <c r="J10" i="3"/>
  <c r="J12" i="3"/>
  <c r="J14" i="3"/>
  <c r="J16" i="3"/>
  <c r="J18" i="3"/>
  <c r="J20" i="3"/>
  <c r="J2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" i="3"/>
  <c r="C8" i="2"/>
  <c r="E3" i="2"/>
  <c r="I3" i="2" s="1"/>
  <c r="E4" i="2"/>
  <c r="E5" i="2"/>
  <c r="E6" i="2"/>
  <c r="E7" i="2"/>
  <c r="E8" i="2"/>
  <c r="I8" i="2" s="1"/>
  <c r="E9" i="2"/>
  <c r="I9" i="2" s="1"/>
  <c r="E10" i="2"/>
  <c r="I10" i="2" s="1"/>
  <c r="E11" i="2"/>
  <c r="I11" i="2" s="1"/>
  <c r="E12" i="2"/>
  <c r="E13" i="2"/>
  <c r="E14" i="2"/>
  <c r="E15" i="2"/>
  <c r="E16" i="2"/>
  <c r="I16" i="2" s="1"/>
  <c r="E17" i="2"/>
  <c r="I17" i="2" s="1"/>
  <c r="E18" i="2"/>
  <c r="I18" i="2" s="1"/>
  <c r="E19" i="2"/>
  <c r="I19" i="2" s="1"/>
  <c r="E20" i="2"/>
  <c r="E21" i="2"/>
  <c r="E2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F22" i="2"/>
  <c r="C22" i="2"/>
  <c r="K2" i="2"/>
  <c r="C3" i="2"/>
  <c r="C4" i="2"/>
  <c r="C5" i="2"/>
  <c r="C6" i="2"/>
  <c r="C7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" i="2"/>
  <c r="I2" i="2" s="1"/>
  <c r="I15" i="2" l="1"/>
  <c r="I7" i="2"/>
  <c r="I22" i="2"/>
  <c r="I14" i="2"/>
  <c r="I6" i="2"/>
  <c r="I21" i="2"/>
  <c r="I13" i="2"/>
  <c r="I5" i="2"/>
  <c r="I20" i="2"/>
  <c r="I12" i="2"/>
  <c r="I4" i="2"/>
</calcChain>
</file>

<file path=xl/sharedStrings.xml><?xml version="1.0" encoding="utf-8"?>
<sst xmlns="http://schemas.openxmlformats.org/spreadsheetml/2006/main" count="126" uniqueCount="57">
  <si>
    <t>SNO</t>
  </si>
  <si>
    <t>NAME</t>
  </si>
  <si>
    <t>AGE</t>
  </si>
  <si>
    <t>PHONE</t>
  </si>
  <si>
    <t>EMAIL</t>
  </si>
  <si>
    <t>SALARY</t>
  </si>
  <si>
    <t>DATE OF BIRTH</t>
  </si>
  <si>
    <t>DEPARTMENT</t>
  </si>
  <si>
    <t>BONUS</t>
  </si>
  <si>
    <t>TOTAL SALARY</t>
  </si>
  <si>
    <t>HR</t>
  </si>
  <si>
    <t>Finance</t>
  </si>
  <si>
    <t>Sales</t>
  </si>
  <si>
    <t>Marketing</t>
  </si>
  <si>
    <t>Accounts</t>
  </si>
  <si>
    <t>Products</t>
  </si>
  <si>
    <t>Analytics</t>
  </si>
  <si>
    <t>Admin</t>
  </si>
  <si>
    <t>IT</t>
  </si>
  <si>
    <t>Payroll</t>
  </si>
  <si>
    <t>Sachin</t>
  </si>
  <si>
    <t>Rohit</t>
  </si>
  <si>
    <t>Dhoni</t>
  </si>
  <si>
    <t>Ravi</t>
  </si>
  <si>
    <t>Sunil</t>
  </si>
  <si>
    <t>Kapil</t>
  </si>
  <si>
    <t>Virat</t>
  </si>
  <si>
    <t>Laxman</t>
  </si>
  <si>
    <t>Mithali</t>
  </si>
  <si>
    <t>Smriti</t>
  </si>
  <si>
    <t>Devika</t>
  </si>
  <si>
    <t>Deepti</t>
  </si>
  <si>
    <t>Pooja</t>
  </si>
  <si>
    <t>Harmanpreet</t>
  </si>
  <si>
    <t>Shikha</t>
  </si>
  <si>
    <t>Count</t>
  </si>
  <si>
    <t>sachin@wnbco.co</t>
  </si>
  <si>
    <t>rohit@wnbco.co</t>
  </si>
  <si>
    <t>dhoni@wnbco.co</t>
  </si>
  <si>
    <t>ravi@wnbco.co</t>
  </si>
  <si>
    <t>sunil@wnbco.co</t>
  </si>
  <si>
    <t>kapil@wnbco.co</t>
  </si>
  <si>
    <t>virat@wnbco.co</t>
  </si>
  <si>
    <t>laxman@wnbco.co</t>
  </si>
  <si>
    <t>mithali@wnbco.co</t>
  </si>
  <si>
    <t>smriti@wnbco.co</t>
  </si>
  <si>
    <t>devika@wnbco.co</t>
  </si>
  <si>
    <t>deepti@wnbco.co</t>
  </si>
  <si>
    <t>pooja@wnbco.co</t>
  </si>
  <si>
    <t>harmanpreet@wnbco.co</t>
  </si>
  <si>
    <t>shikha@wnbco.co</t>
  </si>
  <si>
    <t>sachin.1@wnbco.co</t>
  </si>
  <si>
    <t>rohit.1@wnbco.co</t>
  </si>
  <si>
    <t>dhoni.1@wnbco.co</t>
  </si>
  <si>
    <t>ravi.1@wnbco.co</t>
  </si>
  <si>
    <t>sunil.1@wnbco.co</t>
  </si>
  <si>
    <t>dhoni.2@wnbco.co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</si>
</sst>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₹&quot;\ #,##0"/>
    <numFmt numFmtId="166" formatCode="[$-F800]dddd\,\ mmmm\ dd\,\ yyyy"/>
    <numFmt numFmtId="167" formatCode="&quot;₹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1" applyNumberFormat="1" applyFon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167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14EC-06EA-4C13-BD77-524EDC4F9A5C}">
  <dimension ref="A1:K22"/>
  <sheetViews>
    <sheetView tabSelected="1" zoomScale="120" zoomScaleNormal="120" workbookViewId="0">
      <selection activeCell="K5" sqref="K5"/>
    </sheetView>
  </sheetViews>
  <sheetFormatPr defaultRowHeight="14.5" x14ac:dyDescent="0.35"/>
  <cols>
    <col min="2" max="2" width="12.1796875" bestFit="1" customWidth="1"/>
    <col min="3" max="3" width="11" bestFit="1" customWidth="1"/>
    <col min="4" max="4" width="22.36328125" bestFit="1" customWidth="1"/>
    <col min="5" max="5" width="12.90625" customWidth="1"/>
    <col min="6" max="6" width="7" bestFit="1" customWidth="1"/>
    <col min="7" max="7" width="18.90625" customWidth="1"/>
    <col min="8" max="8" width="12.6328125" bestFit="1" customWidth="1"/>
    <col min="9" max="9" width="13.1796875" bestFit="1" customWidth="1"/>
  </cols>
  <sheetData>
    <row r="1" spans="1:11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8</v>
      </c>
      <c r="G1" s="1" t="s">
        <v>6</v>
      </c>
      <c r="H1" s="1" t="s">
        <v>7</v>
      </c>
      <c r="I1" s="2" t="s">
        <v>9</v>
      </c>
      <c r="J1" s="2" t="s">
        <v>2</v>
      </c>
      <c r="K1" s="1" t="s">
        <v>35</v>
      </c>
    </row>
    <row r="2" spans="1:11" x14ac:dyDescent="0.35">
      <c r="A2">
        <v>1</v>
      </c>
      <c r="B2" t="s">
        <v>20</v>
      </c>
      <c r="C2">
        <f ca="1">RANDBETWEEN(7771100009,9999987687)</f>
        <v>8091707069</v>
      </c>
      <c r="D2" t="str">
        <f>IF(K2=0,  LOWER(B2)&amp;"@wnbco.co",  LOWER(B2)&amp;"."&amp;K2&amp;"@wnbco.co")</f>
        <v>sachin@wnbco.co</v>
      </c>
      <c r="E2" s="4">
        <f ca="1">RANDBETWEEN(55000,450000)</f>
        <v>441522</v>
      </c>
      <c r="F2" s="3">
        <f ca="1">ROUND(RAND()/2,3)</f>
        <v>0.45300000000000001</v>
      </c>
      <c r="G2" s="5">
        <f ca="1">RANDBETWEEN(DATE(1980,9,25),DATE(2002,5,5))</f>
        <v>30321</v>
      </c>
      <c r="H2" t="s">
        <v>10</v>
      </c>
      <c r="I2">
        <f ca="1">E2*(1+F2)</f>
        <v>641531.46600000001</v>
      </c>
      <c r="J2">
        <f ca="1">DATEDIF(G2,TODAY(),"Y")</f>
        <v>43</v>
      </c>
      <c r="K2">
        <f>COUNTIF(B$2:B2,B2)-1</f>
        <v>0</v>
      </c>
    </row>
    <row r="3" spans="1:11" x14ac:dyDescent="0.35">
      <c r="A3">
        <v>2</v>
      </c>
      <c r="B3" t="s">
        <v>21</v>
      </c>
      <c r="C3">
        <f t="shared" ref="C3:C22" ca="1" si="0">RANDBETWEEN(7771100009,9999987687)</f>
        <v>9243791504</v>
      </c>
      <c r="D3" t="str">
        <f t="shared" ref="D3:D22" si="1">IF(K3=0,  LOWER(B3)&amp;"@wnbco.co",  LOWER(B3)&amp;"."&amp;K3&amp;"@wnbco.co")</f>
        <v>rohit@wnbco.co</v>
      </c>
      <c r="E3" s="4">
        <f t="shared" ref="E3:E22" ca="1" si="2">RANDBETWEEN(55000,450000)</f>
        <v>168385</v>
      </c>
      <c r="F3" s="3">
        <f t="shared" ref="F3:F22" ca="1" si="3">ROUND(RAND()/2,3)</f>
        <v>0.498</v>
      </c>
      <c r="G3" s="5">
        <f t="shared" ref="G3:G22" ca="1" si="4">RANDBETWEEN(DATE(1980,9,25),DATE(2002,5,5))</f>
        <v>36274</v>
      </c>
      <c r="H3" t="s">
        <v>11</v>
      </c>
      <c r="I3">
        <f t="shared" ref="I3:I22" ca="1" si="5">E3*(1+F3)</f>
        <v>252240.73</v>
      </c>
      <c r="J3">
        <f t="shared" ref="J3:J22" ca="1" si="6">DATEDIF(G3,TODAY(),"Y")</f>
        <v>27</v>
      </c>
      <c r="K3">
        <f>COUNTIF(B$2:B3,B3)-1</f>
        <v>0</v>
      </c>
    </row>
    <row r="4" spans="1:11" x14ac:dyDescent="0.35">
      <c r="A4">
        <v>3</v>
      </c>
      <c r="B4" t="s">
        <v>22</v>
      </c>
      <c r="C4">
        <f t="shared" ca="1" si="0"/>
        <v>8020429829</v>
      </c>
      <c r="D4" t="str">
        <f t="shared" si="1"/>
        <v>dhoni@wnbco.co</v>
      </c>
      <c r="E4" s="4">
        <f t="shared" ca="1" si="2"/>
        <v>369208</v>
      </c>
      <c r="F4" s="3">
        <f t="shared" ca="1" si="3"/>
        <v>0.34899999999999998</v>
      </c>
      <c r="G4" s="5">
        <f t="shared" ca="1" si="4"/>
        <v>34114</v>
      </c>
      <c r="H4" t="s">
        <v>12</v>
      </c>
      <c r="I4">
        <f t="shared" ca="1" si="5"/>
        <v>498061.592</v>
      </c>
      <c r="J4">
        <f t="shared" ca="1" si="6"/>
        <v>33</v>
      </c>
      <c r="K4">
        <f>COUNTIF(B$2:B4,B4)-1</f>
        <v>0</v>
      </c>
    </row>
    <row r="5" spans="1:11" x14ac:dyDescent="0.35">
      <c r="A5">
        <v>4</v>
      </c>
      <c r="B5" t="s">
        <v>23</v>
      </c>
      <c r="C5">
        <f t="shared" ca="1" si="0"/>
        <v>9553197142</v>
      </c>
      <c r="D5" t="str">
        <f t="shared" si="1"/>
        <v>ravi@wnbco.co</v>
      </c>
      <c r="E5" s="4">
        <f t="shared" ca="1" si="2"/>
        <v>145835</v>
      </c>
      <c r="F5" s="3">
        <f t="shared" ca="1" si="3"/>
        <v>0.27200000000000002</v>
      </c>
      <c r="G5" s="5">
        <f t="shared" ca="1" si="4"/>
        <v>33819</v>
      </c>
      <c r="H5" t="s">
        <v>13</v>
      </c>
      <c r="I5">
        <f t="shared" ca="1" si="5"/>
        <v>185502.12</v>
      </c>
      <c r="J5">
        <f t="shared" ca="1" si="6"/>
        <v>33</v>
      </c>
      <c r="K5">
        <f>COUNTIF(B$2:B5,B5)-1</f>
        <v>0</v>
      </c>
    </row>
    <row r="6" spans="1:11" x14ac:dyDescent="0.35">
      <c r="A6">
        <v>5</v>
      </c>
      <c r="B6" t="s">
        <v>24</v>
      </c>
      <c r="C6">
        <f t="shared" ca="1" si="0"/>
        <v>9767466106</v>
      </c>
      <c r="D6" t="str">
        <f t="shared" si="1"/>
        <v>sunil@wnbco.co</v>
      </c>
      <c r="E6" s="4">
        <f t="shared" ca="1" si="2"/>
        <v>434099</v>
      </c>
      <c r="F6" s="3">
        <f t="shared" ca="1" si="3"/>
        <v>0.22900000000000001</v>
      </c>
      <c r="G6" s="5">
        <f t="shared" ca="1" si="4"/>
        <v>33947</v>
      </c>
      <c r="H6" t="s">
        <v>14</v>
      </c>
      <c r="I6">
        <f t="shared" ca="1" si="5"/>
        <v>533507.67100000009</v>
      </c>
      <c r="J6">
        <f t="shared" ca="1" si="6"/>
        <v>33</v>
      </c>
      <c r="K6">
        <f>COUNTIF(B$2:B6,B6)-1</f>
        <v>0</v>
      </c>
    </row>
    <row r="7" spans="1:11" x14ac:dyDescent="0.35">
      <c r="A7">
        <v>6</v>
      </c>
      <c r="B7" t="s">
        <v>25</v>
      </c>
      <c r="C7">
        <f t="shared" ca="1" si="0"/>
        <v>7822198814</v>
      </c>
      <c r="D7" t="str">
        <f t="shared" si="1"/>
        <v>kapil@wnbco.co</v>
      </c>
      <c r="E7" s="4">
        <f t="shared" ca="1" si="2"/>
        <v>428075</v>
      </c>
      <c r="F7" s="3">
        <f t="shared" ca="1" si="3"/>
        <v>0.16900000000000001</v>
      </c>
      <c r="G7" s="5">
        <f t="shared" ca="1" si="4"/>
        <v>30795</v>
      </c>
      <c r="H7" t="s">
        <v>15</v>
      </c>
      <c r="I7">
        <f t="shared" ca="1" si="5"/>
        <v>500419.67499999999</v>
      </c>
      <c r="J7">
        <f t="shared" ca="1" si="6"/>
        <v>42</v>
      </c>
      <c r="K7">
        <f>COUNTIF(B$2:B7,B7)-1</f>
        <v>0</v>
      </c>
    </row>
    <row r="8" spans="1:11" x14ac:dyDescent="0.35">
      <c r="A8">
        <v>7</v>
      </c>
      <c r="B8" t="s">
        <v>26</v>
      </c>
      <c r="C8">
        <f ca="1">RANDBETWEEN(7771100009,9999987687)</f>
        <v>8774559260</v>
      </c>
      <c r="D8" t="str">
        <f t="shared" si="1"/>
        <v>virat@wnbco.co</v>
      </c>
      <c r="E8" s="4">
        <f t="shared" ca="1" si="2"/>
        <v>355016</v>
      </c>
      <c r="F8" s="3">
        <f t="shared" ca="1" si="3"/>
        <v>0.13800000000000001</v>
      </c>
      <c r="G8" s="5">
        <f t="shared" ca="1" si="4"/>
        <v>33327</v>
      </c>
      <c r="H8" t="s">
        <v>16</v>
      </c>
      <c r="I8">
        <f t="shared" ca="1" si="5"/>
        <v>404008.20799999998</v>
      </c>
      <c r="J8">
        <f t="shared" ca="1" si="6"/>
        <v>35</v>
      </c>
      <c r="K8">
        <f>COUNTIF(B$2:B8,B8)-1</f>
        <v>0</v>
      </c>
    </row>
    <row r="9" spans="1:11" x14ac:dyDescent="0.35">
      <c r="A9">
        <v>8</v>
      </c>
      <c r="B9" t="s">
        <v>27</v>
      </c>
      <c r="C9">
        <f t="shared" ca="1" si="0"/>
        <v>9403120944</v>
      </c>
      <c r="D9" t="str">
        <f t="shared" si="1"/>
        <v>laxman@wnbco.co</v>
      </c>
      <c r="E9" s="4">
        <f t="shared" ca="1" si="2"/>
        <v>415512</v>
      </c>
      <c r="F9" s="3">
        <f t="shared" ca="1" si="3"/>
        <v>1.2999999999999999E-2</v>
      </c>
      <c r="G9" s="5">
        <f t="shared" ca="1" si="4"/>
        <v>33806</v>
      </c>
      <c r="H9" t="s">
        <v>17</v>
      </c>
      <c r="I9">
        <f t="shared" ca="1" si="5"/>
        <v>420913.65599999996</v>
      </c>
      <c r="J9">
        <f t="shared" ca="1" si="6"/>
        <v>33</v>
      </c>
      <c r="K9">
        <f>COUNTIF(B$2:B9,B9)-1</f>
        <v>0</v>
      </c>
    </row>
    <row r="10" spans="1:11" x14ac:dyDescent="0.35">
      <c r="A10">
        <v>9</v>
      </c>
      <c r="B10" t="s">
        <v>28</v>
      </c>
      <c r="C10">
        <f t="shared" ca="1" si="0"/>
        <v>9204779456</v>
      </c>
      <c r="D10" t="str">
        <f t="shared" si="1"/>
        <v>mithali@wnbco.co</v>
      </c>
      <c r="E10" s="4">
        <f t="shared" ca="1" si="2"/>
        <v>281869</v>
      </c>
      <c r="F10" s="3">
        <f t="shared" ca="1" si="3"/>
        <v>0.14799999999999999</v>
      </c>
      <c r="G10" s="5">
        <f t="shared" ca="1" si="4"/>
        <v>29499</v>
      </c>
      <c r="H10" t="s">
        <v>18</v>
      </c>
      <c r="I10">
        <f t="shared" ca="1" si="5"/>
        <v>323585.61199999996</v>
      </c>
      <c r="J10">
        <f t="shared" ca="1" si="6"/>
        <v>45</v>
      </c>
      <c r="K10">
        <f>COUNTIF(B$2:B10,B10)-1</f>
        <v>0</v>
      </c>
    </row>
    <row r="11" spans="1:11" x14ac:dyDescent="0.35">
      <c r="A11">
        <v>10</v>
      </c>
      <c r="B11" t="s">
        <v>29</v>
      </c>
      <c r="C11">
        <f t="shared" ca="1" si="0"/>
        <v>7794473620</v>
      </c>
      <c r="D11" t="str">
        <f t="shared" si="1"/>
        <v>smriti@wnbco.co</v>
      </c>
      <c r="E11" s="4">
        <f t="shared" ca="1" si="2"/>
        <v>356073</v>
      </c>
      <c r="F11" s="3">
        <f t="shared" ca="1" si="3"/>
        <v>0.32400000000000001</v>
      </c>
      <c r="G11" s="5">
        <f t="shared" ca="1" si="4"/>
        <v>32872</v>
      </c>
      <c r="H11" t="s">
        <v>19</v>
      </c>
      <c r="I11">
        <f t="shared" ca="1" si="5"/>
        <v>471440.652</v>
      </c>
      <c r="J11">
        <f t="shared" ca="1" si="6"/>
        <v>36</v>
      </c>
      <c r="K11">
        <f>COUNTIF(B$2:B11,B11)-1</f>
        <v>0</v>
      </c>
    </row>
    <row r="12" spans="1:11" x14ac:dyDescent="0.35">
      <c r="A12">
        <v>11</v>
      </c>
      <c r="B12" t="s">
        <v>30</v>
      </c>
      <c r="C12">
        <f t="shared" ca="1" si="0"/>
        <v>9325175695</v>
      </c>
      <c r="D12" t="str">
        <f t="shared" si="1"/>
        <v>devika@wnbco.co</v>
      </c>
      <c r="E12" s="4">
        <f t="shared" ca="1" si="2"/>
        <v>265731</v>
      </c>
      <c r="F12" s="3">
        <f t="shared" ca="1" si="3"/>
        <v>0.31900000000000001</v>
      </c>
      <c r="G12" s="5">
        <f t="shared" ca="1" si="4"/>
        <v>30810</v>
      </c>
      <c r="H12" t="s">
        <v>10</v>
      </c>
      <c r="I12">
        <f t="shared" ca="1" si="5"/>
        <v>350499.18900000001</v>
      </c>
      <c r="J12">
        <f t="shared" ca="1" si="6"/>
        <v>42</v>
      </c>
      <c r="K12">
        <f>COUNTIF(B$2:B12,B12)-1</f>
        <v>0</v>
      </c>
    </row>
    <row r="13" spans="1:11" x14ac:dyDescent="0.35">
      <c r="A13">
        <v>12</v>
      </c>
      <c r="B13" t="s">
        <v>31</v>
      </c>
      <c r="C13">
        <f t="shared" ca="1" si="0"/>
        <v>9788815750</v>
      </c>
      <c r="D13" t="str">
        <f t="shared" si="1"/>
        <v>deepti@wnbco.co</v>
      </c>
      <c r="E13" s="4">
        <f t="shared" ca="1" si="2"/>
        <v>220573</v>
      </c>
      <c r="F13" s="3">
        <f t="shared" ca="1" si="3"/>
        <v>0.38100000000000001</v>
      </c>
      <c r="G13" s="5">
        <f t="shared" ca="1" si="4"/>
        <v>31254</v>
      </c>
      <c r="H13" t="s">
        <v>11</v>
      </c>
      <c r="I13">
        <f t="shared" ca="1" si="5"/>
        <v>304611.31300000002</v>
      </c>
      <c r="J13">
        <f t="shared" ca="1" si="6"/>
        <v>40</v>
      </c>
      <c r="K13">
        <f>COUNTIF(B$2:B13,B13)-1</f>
        <v>0</v>
      </c>
    </row>
    <row r="14" spans="1:11" x14ac:dyDescent="0.35">
      <c r="A14">
        <v>13</v>
      </c>
      <c r="B14" t="s">
        <v>32</v>
      </c>
      <c r="C14">
        <f t="shared" ca="1" si="0"/>
        <v>9153462612</v>
      </c>
      <c r="D14" t="str">
        <f t="shared" si="1"/>
        <v>pooja@wnbco.co</v>
      </c>
      <c r="E14" s="4">
        <f t="shared" ca="1" si="2"/>
        <v>303420</v>
      </c>
      <c r="F14" s="3">
        <f t="shared" ca="1" si="3"/>
        <v>0.13700000000000001</v>
      </c>
      <c r="G14" s="5">
        <f t="shared" ca="1" si="4"/>
        <v>36346</v>
      </c>
      <c r="H14" t="s">
        <v>12</v>
      </c>
      <c r="I14">
        <f t="shared" ca="1" si="5"/>
        <v>344988.54</v>
      </c>
      <c r="J14">
        <f t="shared" ca="1" si="6"/>
        <v>26</v>
      </c>
      <c r="K14">
        <f>COUNTIF(B$2:B14,B14)-1</f>
        <v>0</v>
      </c>
    </row>
    <row r="15" spans="1:11" x14ac:dyDescent="0.35">
      <c r="A15">
        <v>14</v>
      </c>
      <c r="B15" t="s">
        <v>33</v>
      </c>
      <c r="C15">
        <f t="shared" ca="1" si="0"/>
        <v>8021395496</v>
      </c>
      <c r="D15" t="str">
        <f t="shared" si="1"/>
        <v>harmanpreet@wnbco.co</v>
      </c>
      <c r="E15" s="4">
        <f t="shared" ca="1" si="2"/>
        <v>85822</v>
      </c>
      <c r="F15" s="3">
        <f t="shared" ca="1" si="3"/>
        <v>5.5E-2</v>
      </c>
      <c r="G15" s="5">
        <f t="shared" ca="1" si="4"/>
        <v>36406</v>
      </c>
      <c r="H15" t="s">
        <v>13</v>
      </c>
      <c r="I15">
        <f t="shared" ca="1" si="5"/>
        <v>90542.209999999992</v>
      </c>
      <c r="J15">
        <f t="shared" ca="1" si="6"/>
        <v>26</v>
      </c>
      <c r="K15">
        <f>COUNTIF(B$2:B15,B15)-1</f>
        <v>0</v>
      </c>
    </row>
    <row r="16" spans="1:11" x14ac:dyDescent="0.35">
      <c r="A16">
        <v>15</v>
      </c>
      <c r="B16" t="s">
        <v>34</v>
      </c>
      <c r="C16">
        <f t="shared" ca="1" si="0"/>
        <v>9548601688</v>
      </c>
      <c r="D16" t="str">
        <f t="shared" si="1"/>
        <v>shikha@wnbco.co</v>
      </c>
      <c r="E16" s="4">
        <f t="shared" ca="1" si="2"/>
        <v>277559</v>
      </c>
      <c r="F16" s="3">
        <f t="shared" ca="1" si="3"/>
        <v>0.27800000000000002</v>
      </c>
      <c r="G16" s="5">
        <f t="shared" ca="1" si="4"/>
        <v>36195</v>
      </c>
      <c r="H16" t="s">
        <v>14</v>
      </c>
      <c r="I16">
        <f t="shared" ca="1" si="5"/>
        <v>354720.402</v>
      </c>
      <c r="J16">
        <f t="shared" ca="1" si="6"/>
        <v>27</v>
      </c>
      <c r="K16">
        <f>COUNTIF(B$2:B16,B16)-1</f>
        <v>0</v>
      </c>
    </row>
    <row r="17" spans="1:11" x14ac:dyDescent="0.35">
      <c r="A17">
        <v>16</v>
      </c>
      <c r="B17" t="s">
        <v>20</v>
      </c>
      <c r="C17">
        <f t="shared" ca="1" si="0"/>
        <v>8507419568</v>
      </c>
      <c r="D17" t="str">
        <f t="shared" si="1"/>
        <v>sachin.1@wnbco.co</v>
      </c>
      <c r="E17" s="4">
        <f t="shared" ca="1" si="2"/>
        <v>305410</v>
      </c>
      <c r="F17" s="3">
        <f t="shared" ca="1" si="3"/>
        <v>1E-3</v>
      </c>
      <c r="G17" s="5">
        <f t="shared" ca="1" si="4"/>
        <v>32061</v>
      </c>
      <c r="H17" t="s">
        <v>15</v>
      </c>
      <c r="I17">
        <f t="shared" ca="1" si="5"/>
        <v>305715.40999999997</v>
      </c>
      <c r="J17">
        <f t="shared" ca="1" si="6"/>
        <v>38</v>
      </c>
      <c r="K17">
        <f>COUNTIF(B$2:B17,B17)-1</f>
        <v>1</v>
      </c>
    </row>
    <row r="18" spans="1:11" x14ac:dyDescent="0.35">
      <c r="A18">
        <v>17</v>
      </c>
      <c r="B18" t="s">
        <v>21</v>
      </c>
      <c r="C18">
        <f t="shared" ca="1" si="0"/>
        <v>9175906261</v>
      </c>
      <c r="D18" t="str">
        <f t="shared" si="1"/>
        <v>rohit.1@wnbco.co</v>
      </c>
      <c r="E18" s="4">
        <f t="shared" ca="1" si="2"/>
        <v>298224</v>
      </c>
      <c r="F18" s="3">
        <f t="shared" ca="1" si="3"/>
        <v>1E-3</v>
      </c>
      <c r="G18" s="5">
        <f t="shared" ca="1" si="4"/>
        <v>29867</v>
      </c>
      <c r="H18" t="s">
        <v>16</v>
      </c>
      <c r="I18">
        <f t="shared" ca="1" si="5"/>
        <v>298522.22399999999</v>
      </c>
      <c r="J18">
        <f t="shared" ca="1" si="6"/>
        <v>44</v>
      </c>
      <c r="K18">
        <f>COUNTIF(B$2:B18,B18)-1</f>
        <v>1</v>
      </c>
    </row>
    <row r="19" spans="1:11" x14ac:dyDescent="0.35">
      <c r="A19">
        <v>18</v>
      </c>
      <c r="B19" t="s">
        <v>22</v>
      </c>
      <c r="C19">
        <f t="shared" ca="1" si="0"/>
        <v>9101275425</v>
      </c>
      <c r="D19" t="str">
        <f t="shared" si="1"/>
        <v>dhoni.1@wnbco.co</v>
      </c>
      <c r="E19" s="4">
        <f t="shared" ca="1" si="2"/>
        <v>302845</v>
      </c>
      <c r="F19" s="3">
        <f t="shared" ca="1" si="3"/>
        <v>0.35699999999999998</v>
      </c>
      <c r="G19" s="5">
        <f t="shared" ca="1" si="4"/>
        <v>33240</v>
      </c>
      <c r="H19" t="s">
        <v>17</v>
      </c>
      <c r="I19">
        <f t="shared" ca="1" si="5"/>
        <v>410960.66499999998</v>
      </c>
      <c r="J19">
        <f t="shared" ca="1" si="6"/>
        <v>35</v>
      </c>
      <c r="K19">
        <f>COUNTIF(B$2:B19,B19)-1</f>
        <v>1</v>
      </c>
    </row>
    <row r="20" spans="1:11" x14ac:dyDescent="0.35">
      <c r="A20">
        <v>19</v>
      </c>
      <c r="B20" t="s">
        <v>23</v>
      </c>
      <c r="C20">
        <f t="shared" ca="1" si="0"/>
        <v>9246252663</v>
      </c>
      <c r="D20" t="str">
        <f t="shared" si="1"/>
        <v>ravi.1@wnbco.co</v>
      </c>
      <c r="E20" s="4">
        <f t="shared" ca="1" si="2"/>
        <v>182190</v>
      </c>
      <c r="F20" s="3">
        <f t="shared" ca="1" si="3"/>
        <v>0.14599999999999999</v>
      </c>
      <c r="G20" s="5">
        <f t="shared" ca="1" si="4"/>
        <v>35272</v>
      </c>
      <c r="H20" t="s">
        <v>18</v>
      </c>
      <c r="I20">
        <f t="shared" ca="1" si="5"/>
        <v>208789.74</v>
      </c>
      <c r="J20">
        <f t="shared" ca="1" si="6"/>
        <v>29</v>
      </c>
      <c r="K20">
        <f>COUNTIF(B$2:B20,B20)-1</f>
        <v>1</v>
      </c>
    </row>
    <row r="21" spans="1:11" x14ac:dyDescent="0.35">
      <c r="A21">
        <v>20</v>
      </c>
      <c r="B21" t="s">
        <v>24</v>
      </c>
      <c r="C21">
        <f t="shared" ca="1" si="0"/>
        <v>8212436697</v>
      </c>
      <c r="D21" t="str">
        <f t="shared" si="1"/>
        <v>sunil.1@wnbco.co</v>
      </c>
      <c r="E21" s="4">
        <f t="shared" ca="1" si="2"/>
        <v>60118</v>
      </c>
      <c r="F21" s="3">
        <f t="shared" ca="1" si="3"/>
        <v>0.38400000000000001</v>
      </c>
      <c r="G21" s="5">
        <f t="shared" ca="1" si="4"/>
        <v>33359</v>
      </c>
      <c r="H21" t="s">
        <v>19</v>
      </c>
      <c r="I21">
        <f t="shared" ca="1" si="5"/>
        <v>83203.311999999991</v>
      </c>
      <c r="J21">
        <f t="shared" ca="1" si="6"/>
        <v>35</v>
      </c>
      <c r="K21">
        <f>COUNTIF(B$2:B21,B21)-1</f>
        <v>1</v>
      </c>
    </row>
    <row r="22" spans="1:11" x14ac:dyDescent="0.35">
      <c r="A22">
        <v>21</v>
      </c>
      <c r="B22" t="s">
        <v>22</v>
      </c>
      <c r="C22">
        <f t="shared" ca="1" si="0"/>
        <v>8099136355</v>
      </c>
      <c r="D22" t="str">
        <f t="shared" si="1"/>
        <v>dhoni.2@wnbco.co</v>
      </c>
      <c r="E22" s="4">
        <f t="shared" ca="1" si="2"/>
        <v>170524</v>
      </c>
      <c r="F22" s="3">
        <f t="shared" ca="1" si="3"/>
        <v>0.4</v>
      </c>
      <c r="G22" s="5">
        <f t="shared" ca="1" si="4"/>
        <v>34729</v>
      </c>
      <c r="H22" t="s">
        <v>19</v>
      </c>
      <c r="I22">
        <f t="shared" ca="1" si="5"/>
        <v>238733.59999999998</v>
      </c>
      <c r="J22">
        <f t="shared" ca="1" si="6"/>
        <v>31</v>
      </c>
      <c r="K22">
        <f>COUNTIF(B$2:B22,B22)-1</f>
        <v>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A9DE5-40AE-415F-B334-0D8D399D631A}">
  <dimension ref="A1:J22"/>
  <sheetViews>
    <sheetView zoomScaleNormal="100" workbookViewId="0">
      <selection activeCell="J2" sqref="J2"/>
    </sheetView>
  </sheetViews>
  <sheetFormatPr defaultRowHeight="14.5" x14ac:dyDescent="0.35"/>
  <cols>
    <col min="3" max="3" width="11.90625" customWidth="1"/>
    <col min="4" max="4" width="21.6328125" bestFit="1" customWidth="1"/>
    <col min="5" max="5" width="9.36328125" bestFit="1" customWidth="1"/>
    <col min="7" max="7" width="16.81640625" bestFit="1" customWidth="1"/>
    <col min="8" max="8" width="12.81640625" bestFit="1" customWidth="1"/>
    <col min="9" max="9" width="13.453125" bestFit="1" customWidth="1"/>
    <col min="10" max="10" width="10.36328125" bestFit="1" customWidth="1"/>
  </cols>
  <sheetData>
    <row r="1" spans="1:10" x14ac:dyDescent="0.35">
      <c r="A1" s="6" t="s">
        <v>0</v>
      </c>
      <c r="B1" s="6" t="s">
        <v>1</v>
      </c>
      <c r="C1" s="6" t="s">
        <v>3</v>
      </c>
      <c r="D1" s="6" t="s">
        <v>4</v>
      </c>
      <c r="E1" s="6" t="s">
        <v>5</v>
      </c>
      <c r="F1" s="6" t="s">
        <v>8</v>
      </c>
      <c r="G1" s="6" t="s">
        <v>6</v>
      </c>
      <c r="H1" s="6" t="s">
        <v>7</v>
      </c>
      <c r="I1" s="6" t="s">
        <v>9</v>
      </c>
      <c r="J1" s="6" t="s">
        <v>2</v>
      </c>
    </row>
    <row r="2" spans="1:10" x14ac:dyDescent="0.35">
      <c r="A2">
        <v>1</v>
      </c>
      <c r="B2" t="s">
        <v>20</v>
      </c>
      <c r="C2">
        <v>8729341633</v>
      </c>
      <c r="D2" t="s">
        <v>36</v>
      </c>
      <c r="E2" s="4">
        <v>205413</v>
      </c>
      <c r="F2" s="3">
        <v>0.45200000000000001</v>
      </c>
      <c r="G2" s="5">
        <v>31313</v>
      </c>
      <c r="H2" t="s">
        <v>10</v>
      </c>
      <c r="I2" s="7">
        <f>E2+F2*E2</f>
        <v>298259.67599999998</v>
      </c>
      <c r="J2" s="8">
        <f ca="1">DATEDIF(G2,TODAY(),"Y")</f>
        <v>40</v>
      </c>
    </row>
    <row r="3" spans="1:10" x14ac:dyDescent="0.35">
      <c r="A3">
        <v>2</v>
      </c>
      <c r="B3" t="s">
        <v>21</v>
      </c>
      <c r="C3">
        <v>8143326794</v>
      </c>
      <c r="D3" t="s">
        <v>37</v>
      </c>
      <c r="E3" s="4">
        <v>180649</v>
      </c>
      <c r="F3" s="3">
        <v>8.5999999999999993E-2</v>
      </c>
      <c r="G3" s="5">
        <v>34552</v>
      </c>
      <c r="H3" t="s">
        <v>11</v>
      </c>
      <c r="I3" s="7">
        <f t="shared" ref="I3:I22" si="0">E3+F3*E3</f>
        <v>196184.81400000001</v>
      </c>
      <c r="J3" s="8">
        <f t="shared" ref="J3:J22" ca="1" si="1">DATEDIF(G3,TODAY(),"Y")</f>
        <v>31</v>
      </c>
    </row>
    <row r="4" spans="1:10" x14ac:dyDescent="0.35">
      <c r="A4">
        <v>3</v>
      </c>
      <c r="B4" t="s">
        <v>22</v>
      </c>
      <c r="C4">
        <v>9549801823</v>
      </c>
      <c r="D4" t="s">
        <v>38</v>
      </c>
      <c r="E4" s="4">
        <v>351507</v>
      </c>
      <c r="F4" s="3">
        <v>0.17599999999999999</v>
      </c>
      <c r="G4" s="5">
        <v>30934</v>
      </c>
      <c r="H4" t="s">
        <v>12</v>
      </c>
      <c r="I4" s="7">
        <f t="shared" si="0"/>
        <v>413372.23200000002</v>
      </c>
      <c r="J4" s="8">
        <f t="shared" ca="1" si="1"/>
        <v>41</v>
      </c>
    </row>
    <row r="5" spans="1:10" x14ac:dyDescent="0.35">
      <c r="A5">
        <v>4</v>
      </c>
      <c r="B5" t="s">
        <v>23</v>
      </c>
      <c r="C5">
        <v>8677775147</v>
      </c>
      <c r="D5" t="s">
        <v>39</v>
      </c>
      <c r="E5" s="4">
        <v>67357</v>
      </c>
      <c r="F5" s="3">
        <v>0.107</v>
      </c>
      <c r="G5" s="5">
        <v>36253</v>
      </c>
      <c r="H5" t="s">
        <v>13</v>
      </c>
      <c r="I5" s="7">
        <f t="shared" si="0"/>
        <v>74564.198999999993</v>
      </c>
      <c r="J5" s="8">
        <f t="shared" ca="1" si="1"/>
        <v>27</v>
      </c>
    </row>
    <row r="6" spans="1:10" x14ac:dyDescent="0.35">
      <c r="A6">
        <v>5</v>
      </c>
      <c r="B6" t="s">
        <v>24</v>
      </c>
      <c r="C6">
        <v>7840591769</v>
      </c>
      <c r="D6" t="s">
        <v>40</v>
      </c>
      <c r="E6" s="4">
        <v>269817</v>
      </c>
      <c r="F6" s="3">
        <v>0.47899999999999998</v>
      </c>
      <c r="G6" s="5">
        <v>36964</v>
      </c>
      <c r="H6" t="s">
        <v>14</v>
      </c>
      <c r="I6" s="7">
        <f t="shared" si="0"/>
        <v>399059.34299999999</v>
      </c>
      <c r="J6" s="8">
        <f t="shared" ca="1" si="1"/>
        <v>25</v>
      </c>
    </row>
    <row r="7" spans="1:10" x14ac:dyDescent="0.35">
      <c r="A7">
        <v>6</v>
      </c>
      <c r="B7" t="s">
        <v>25</v>
      </c>
      <c r="C7">
        <v>9061898110</v>
      </c>
      <c r="D7" t="s">
        <v>41</v>
      </c>
      <c r="E7" s="4">
        <v>179299</v>
      </c>
      <c r="F7" s="3">
        <v>3.5999999999999997E-2</v>
      </c>
      <c r="G7" s="5">
        <v>32306</v>
      </c>
      <c r="H7" t="s">
        <v>15</v>
      </c>
      <c r="I7" s="7">
        <f t="shared" si="0"/>
        <v>185753.764</v>
      </c>
      <c r="J7" s="8">
        <f t="shared" ca="1" si="1"/>
        <v>38</v>
      </c>
    </row>
    <row r="8" spans="1:10" x14ac:dyDescent="0.35">
      <c r="A8">
        <v>7</v>
      </c>
      <c r="B8" t="s">
        <v>26</v>
      </c>
      <c r="C8">
        <v>8004801120</v>
      </c>
      <c r="D8" t="s">
        <v>42</v>
      </c>
      <c r="E8" s="4">
        <v>395985</v>
      </c>
      <c r="F8" s="3">
        <v>0.316</v>
      </c>
      <c r="G8" s="5">
        <v>32346</v>
      </c>
      <c r="H8" t="s">
        <v>16</v>
      </c>
      <c r="I8" s="7">
        <f t="shared" si="0"/>
        <v>521116.26</v>
      </c>
      <c r="J8" s="8">
        <f t="shared" ca="1" si="1"/>
        <v>37</v>
      </c>
    </row>
    <row r="9" spans="1:10" x14ac:dyDescent="0.35">
      <c r="A9">
        <v>8</v>
      </c>
      <c r="B9" t="s">
        <v>27</v>
      </c>
      <c r="C9">
        <v>8237789753</v>
      </c>
      <c r="D9" t="s">
        <v>43</v>
      </c>
      <c r="E9" s="4">
        <v>335537</v>
      </c>
      <c r="F9" s="3">
        <v>0.122</v>
      </c>
      <c r="G9" s="5">
        <v>31411</v>
      </c>
      <c r="H9" t="s">
        <v>17</v>
      </c>
      <c r="I9" s="7">
        <f t="shared" si="0"/>
        <v>376472.51399999997</v>
      </c>
      <c r="J9" s="8">
        <f t="shared" ca="1" si="1"/>
        <v>40</v>
      </c>
    </row>
    <row r="10" spans="1:10" x14ac:dyDescent="0.35">
      <c r="A10">
        <v>9</v>
      </c>
      <c r="B10" t="s">
        <v>28</v>
      </c>
      <c r="C10">
        <v>9645196932</v>
      </c>
      <c r="D10" t="s">
        <v>44</v>
      </c>
      <c r="E10" s="4">
        <v>125314</v>
      </c>
      <c r="F10" s="3">
        <v>0.36099999999999999</v>
      </c>
      <c r="G10" s="5">
        <v>35081</v>
      </c>
      <c r="H10" t="s">
        <v>18</v>
      </c>
      <c r="I10" s="7">
        <f t="shared" si="0"/>
        <v>170552.35399999999</v>
      </c>
      <c r="J10" s="8">
        <f t="shared" ca="1" si="1"/>
        <v>30</v>
      </c>
    </row>
    <row r="11" spans="1:10" x14ac:dyDescent="0.35">
      <c r="A11">
        <v>10</v>
      </c>
      <c r="B11" t="s">
        <v>29</v>
      </c>
      <c r="C11">
        <v>7829067397</v>
      </c>
      <c r="D11" t="s">
        <v>45</v>
      </c>
      <c r="E11" s="4">
        <v>370103</v>
      </c>
      <c r="F11" s="3">
        <v>0.23699999999999999</v>
      </c>
      <c r="G11" s="5">
        <v>31199</v>
      </c>
      <c r="H11" t="s">
        <v>19</v>
      </c>
      <c r="I11" s="7">
        <f t="shared" si="0"/>
        <v>457817.41099999996</v>
      </c>
      <c r="J11" s="8">
        <f t="shared" ca="1" si="1"/>
        <v>41</v>
      </c>
    </row>
    <row r="12" spans="1:10" x14ac:dyDescent="0.35">
      <c r="A12">
        <v>11</v>
      </c>
      <c r="B12" t="s">
        <v>30</v>
      </c>
      <c r="C12">
        <v>8375447789</v>
      </c>
      <c r="D12" t="s">
        <v>46</v>
      </c>
      <c r="E12" s="4">
        <v>212675</v>
      </c>
      <c r="F12" s="3">
        <v>3.4000000000000002E-2</v>
      </c>
      <c r="G12" s="5">
        <v>33477</v>
      </c>
      <c r="H12" t="s">
        <v>10</v>
      </c>
      <c r="I12" s="7">
        <f t="shared" si="0"/>
        <v>219905.95</v>
      </c>
      <c r="J12" s="8">
        <f t="shared" ca="1" si="1"/>
        <v>34</v>
      </c>
    </row>
    <row r="13" spans="1:10" x14ac:dyDescent="0.35">
      <c r="A13">
        <v>12</v>
      </c>
      <c r="B13" t="s">
        <v>31</v>
      </c>
      <c r="C13">
        <v>8555937259</v>
      </c>
      <c r="D13" t="s">
        <v>47</v>
      </c>
      <c r="E13" s="4">
        <v>256547</v>
      </c>
      <c r="F13" s="3">
        <v>0.13800000000000001</v>
      </c>
      <c r="G13" s="5">
        <v>36160</v>
      </c>
      <c r="H13" t="s">
        <v>11</v>
      </c>
      <c r="I13" s="7">
        <f t="shared" si="0"/>
        <v>291950.48600000003</v>
      </c>
      <c r="J13" s="8">
        <f t="shared" ca="1" si="1"/>
        <v>27</v>
      </c>
    </row>
    <row r="14" spans="1:10" x14ac:dyDescent="0.35">
      <c r="A14">
        <v>13</v>
      </c>
      <c r="B14" t="s">
        <v>32</v>
      </c>
      <c r="C14">
        <v>9398870864</v>
      </c>
      <c r="D14" t="s">
        <v>48</v>
      </c>
      <c r="E14" s="4">
        <v>267349</v>
      </c>
      <c r="F14" s="3">
        <v>0.19900000000000001</v>
      </c>
      <c r="G14" s="5">
        <v>29596</v>
      </c>
      <c r="H14" t="s">
        <v>12</v>
      </c>
      <c r="I14" s="7">
        <f t="shared" si="0"/>
        <v>320551.451</v>
      </c>
      <c r="J14" s="8">
        <f t="shared" ca="1" si="1"/>
        <v>45</v>
      </c>
    </row>
    <row r="15" spans="1:10" x14ac:dyDescent="0.35">
      <c r="A15">
        <v>14</v>
      </c>
      <c r="B15" t="s">
        <v>33</v>
      </c>
      <c r="C15">
        <v>7892474474</v>
      </c>
      <c r="D15" t="s">
        <v>49</v>
      </c>
      <c r="E15" s="4">
        <v>187188</v>
      </c>
      <c r="F15" s="3">
        <v>0.46300000000000002</v>
      </c>
      <c r="G15" s="5">
        <v>32361</v>
      </c>
      <c r="H15" t="s">
        <v>13</v>
      </c>
      <c r="I15" s="7">
        <f t="shared" si="0"/>
        <v>273856.04399999999</v>
      </c>
      <c r="J15" s="8">
        <f t="shared" ca="1" si="1"/>
        <v>37</v>
      </c>
    </row>
    <row r="16" spans="1:10" x14ac:dyDescent="0.35">
      <c r="A16">
        <v>15</v>
      </c>
      <c r="B16" t="s">
        <v>34</v>
      </c>
      <c r="C16">
        <v>8219963408</v>
      </c>
      <c r="D16" t="s">
        <v>50</v>
      </c>
      <c r="E16" s="4">
        <v>410756</v>
      </c>
      <c r="F16" s="3">
        <v>0.28999999999999998</v>
      </c>
      <c r="G16" s="5">
        <v>32811</v>
      </c>
      <c r="H16" t="s">
        <v>14</v>
      </c>
      <c r="I16" s="7">
        <f t="shared" si="0"/>
        <v>529875.24</v>
      </c>
      <c r="J16" s="8">
        <f t="shared" ca="1" si="1"/>
        <v>36</v>
      </c>
    </row>
    <row r="17" spans="1:10" x14ac:dyDescent="0.35">
      <c r="A17">
        <v>16</v>
      </c>
      <c r="B17" t="s">
        <v>20</v>
      </c>
      <c r="C17">
        <v>8729148059</v>
      </c>
      <c r="D17" t="s">
        <v>51</v>
      </c>
      <c r="E17" s="4">
        <v>263968</v>
      </c>
      <c r="F17" s="3">
        <v>0.35899999999999999</v>
      </c>
      <c r="G17" s="5">
        <v>35872</v>
      </c>
      <c r="H17" t="s">
        <v>15</v>
      </c>
      <c r="I17" s="7">
        <f t="shared" si="0"/>
        <v>358732.51199999999</v>
      </c>
      <c r="J17" s="8">
        <f t="shared" ca="1" si="1"/>
        <v>28</v>
      </c>
    </row>
    <row r="18" spans="1:10" x14ac:dyDescent="0.35">
      <c r="A18">
        <v>17</v>
      </c>
      <c r="B18" t="s">
        <v>21</v>
      </c>
      <c r="C18">
        <v>8226566262</v>
      </c>
      <c r="D18" t="s">
        <v>52</v>
      </c>
      <c r="E18" s="4">
        <v>272959</v>
      </c>
      <c r="F18" s="3">
        <v>0.45500000000000002</v>
      </c>
      <c r="G18" s="5">
        <v>36690</v>
      </c>
      <c r="H18" t="s">
        <v>16</v>
      </c>
      <c r="I18" s="7">
        <f t="shared" si="0"/>
        <v>397155.34499999997</v>
      </c>
      <c r="J18" s="8">
        <f t="shared" ca="1" si="1"/>
        <v>26</v>
      </c>
    </row>
    <row r="19" spans="1:10" x14ac:dyDescent="0.35">
      <c r="A19">
        <v>18</v>
      </c>
      <c r="B19" t="s">
        <v>22</v>
      </c>
      <c r="C19">
        <v>9333268962</v>
      </c>
      <c r="D19" t="s">
        <v>53</v>
      </c>
      <c r="E19" s="4">
        <v>153862</v>
      </c>
      <c r="F19" s="3">
        <v>0.221</v>
      </c>
      <c r="G19" s="5">
        <v>31854</v>
      </c>
      <c r="H19" t="s">
        <v>17</v>
      </c>
      <c r="I19" s="7">
        <f t="shared" si="0"/>
        <v>187865.50200000001</v>
      </c>
      <c r="J19" s="8">
        <f t="shared" ca="1" si="1"/>
        <v>39</v>
      </c>
    </row>
    <row r="20" spans="1:10" x14ac:dyDescent="0.35">
      <c r="A20">
        <v>19</v>
      </c>
      <c r="B20" t="s">
        <v>23</v>
      </c>
      <c r="C20">
        <v>8776466936</v>
      </c>
      <c r="D20" t="s">
        <v>54</v>
      </c>
      <c r="E20" s="4">
        <v>261166</v>
      </c>
      <c r="F20" s="3">
        <v>0.45300000000000001</v>
      </c>
      <c r="G20" s="5">
        <v>33671</v>
      </c>
      <c r="H20" t="s">
        <v>18</v>
      </c>
      <c r="I20" s="7">
        <f t="shared" si="0"/>
        <v>379474.19799999997</v>
      </c>
      <c r="J20" s="8">
        <f t="shared" ca="1" si="1"/>
        <v>34</v>
      </c>
    </row>
    <row r="21" spans="1:10" x14ac:dyDescent="0.35">
      <c r="A21">
        <v>20</v>
      </c>
      <c r="B21" t="s">
        <v>24</v>
      </c>
      <c r="C21">
        <v>8216356574</v>
      </c>
      <c r="D21" t="s">
        <v>55</v>
      </c>
      <c r="E21" s="4">
        <v>139184</v>
      </c>
      <c r="F21" s="3">
        <v>8.2000000000000003E-2</v>
      </c>
      <c r="G21" s="5">
        <v>30564</v>
      </c>
      <c r="H21" t="s">
        <v>19</v>
      </c>
      <c r="I21" s="7">
        <f t="shared" si="0"/>
        <v>150597.08799999999</v>
      </c>
      <c r="J21" s="8">
        <f t="shared" ca="1" si="1"/>
        <v>42</v>
      </c>
    </row>
    <row r="22" spans="1:10" x14ac:dyDescent="0.35">
      <c r="A22">
        <v>21</v>
      </c>
      <c r="B22" t="s">
        <v>22</v>
      </c>
      <c r="C22">
        <v>8298083810</v>
      </c>
      <c r="D22" t="s">
        <v>56</v>
      </c>
      <c r="E22" s="4">
        <v>150488</v>
      </c>
      <c r="F22" s="3">
        <v>0.19400000000000001</v>
      </c>
      <c r="G22" s="5">
        <v>30807</v>
      </c>
      <c r="H22" t="s">
        <v>19</v>
      </c>
      <c r="I22" s="7">
        <f t="shared" si="0"/>
        <v>179682.67199999999</v>
      </c>
      <c r="J22" s="8">
        <f t="shared" ca="1" si="1"/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PAVITRA G</cp:lastModifiedBy>
  <dcterms:created xsi:type="dcterms:W3CDTF">2015-06-05T18:17:20Z</dcterms:created>
  <dcterms:modified xsi:type="dcterms:W3CDTF">2026-06-15T10:12:21Z</dcterms:modified>
</cp:coreProperties>
</file>