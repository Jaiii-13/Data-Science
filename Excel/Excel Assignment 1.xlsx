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mu\OneDrive\Desktop\"/>
    </mc:Choice>
  </mc:AlternateContent>
  <xr:revisionPtr revIDLastSave="0" documentId="13_ncr:1_{312A6F30-C55F-4D46-8D71-7DE83073C7AC}" xr6:coauthVersionLast="47" xr6:coauthVersionMax="47" xr10:uidLastSave="{00000000-0000-0000-0000-000000000000}"/>
  <bookViews>
    <workbookView xWindow="-108" yWindow="-108" windowWidth="23256" windowHeight="12456" xr2:uid="{18375BA7-B9FB-4CC3-A1FB-47D450B48C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L2" i="1"/>
  <c r="K2" i="1"/>
  <c r="I5" i="1"/>
  <c r="I4" i="1"/>
  <c r="I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I6" i="1"/>
  <c r="I7" i="1"/>
  <c r="I8" i="1"/>
  <c r="I9" i="1"/>
  <c r="I10" i="1"/>
  <c r="I11" i="1"/>
  <c r="I12" i="1"/>
  <c r="I13" i="1"/>
  <c r="I14" i="1"/>
  <c r="I15" i="1"/>
  <c r="I16" i="1"/>
  <c r="I2" i="1"/>
  <c r="C4" i="1"/>
  <c r="E4" i="1" s="1"/>
  <c r="D3" i="1"/>
  <c r="F3" i="1" s="1"/>
  <c r="G3" i="1" s="1"/>
  <c r="D4" i="1"/>
  <c r="F4" i="1" s="1"/>
  <c r="G4" i="1" s="1"/>
  <c r="D5" i="1"/>
  <c r="F5" i="1" s="1"/>
  <c r="G5" i="1" s="1"/>
  <c r="D6" i="1"/>
  <c r="F6" i="1" s="1"/>
  <c r="G6" i="1" s="1"/>
  <c r="D7" i="1"/>
  <c r="F7" i="1" s="1"/>
  <c r="G7" i="1" s="1"/>
  <c r="D8" i="1"/>
  <c r="F8" i="1" s="1"/>
  <c r="G8" i="1" s="1"/>
  <c r="D9" i="1"/>
  <c r="F9" i="1" s="1"/>
  <c r="G9" i="1" s="1"/>
  <c r="D10" i="1"/>
  <c r="F10" i="1" s="1"/>
  <c r="G10" i="1" s="1"/>
  <c r="D11" i="1"/>
  <c r="F11" i="1" s="1"/>
  <c r="G11" i="1" s="1"/>
  <c r="D12" i="1"/>
  <c r="F12" i="1" s="1"/>
  <c r="G12" i="1" s="1"/>
  <c r="D13" i="1"/>
  <c r="F13" i="1" s="1"/>
  <c r="G13" i="1" s="1"/>
  <c r="D14" i="1"/>
  <c r="F14" i="1" s="1"/>
  <c r="G14" i="1" s="1"/>
  <c r="D15" i="1"/>
  <c r="F15" i="1" s="1"/>
  <c r="G15" i="1" s="1"/>
  <c r="D16" i="1"/>
  <c r="F16" i="1" s="1"/>
  <c r="G16" i="1" s="1"/>
  <c r="D2" i="1"/>
  <c r="C15" i="1"/>
  <c r="E15" i="1" s="1"/>
  <c r="C16" i="1"/>
  <c r="E16" i="1" s="1"/>
  <c r="C3" i="1"/>
  <c r="E3" i="1" s="1"/>
  <c r="C5" i="1"/>
  <c r="E5" i="1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12" i="1"/>
  <c r="E12" i="1" s="1"/>
  <c r="C13" i="1"/>
  <c r="E13" i="1" s="1"/>
  <c r="C14" i="1"/>
  <c r="E14" i="1" s="1"/>
  <c r="C2" i="1"/>
  <c r="E2" i="1" s="1"/>
  <c r="H14" i="1" l="1"/>
  <c r="H6" i="1"/>
  <c r="H9" i="1"/>
  <c r="H10" i="1"/>
  <c r="H16" i="1"/>
  <c r="H8" i="1"/>
  <c r="H12" i="1"/>
  <c r="H4" i="1"/>
  <c r="H11" i="1"/>
  <c r="H2" i="1"/>
  <c r="H15" i="1"/>
  <c r="H7" i="1"/>
  <c r="H13" i="1"/>
  <c r="H5" i="1"/>
  <c r="H3" i="1"/>
  <c r="F2" i="1"/>
  <c r="G2" i="1" s="1"/>
</calcChain>
</file>

<file path=xl/sharedStrings.xml><?xml version="1.0" encoding="utf-8"?>
<sst xmlns="http://schemas.openxmlformats.org/spreadsheetml/2006/main" count="27" uniqueCount="27">
  <si>
    <t>Dhoni</t>
  </si>
  <si>
    <t>Sno</t>
  </si>
  <si>
    <t>Name</t>
  </si>
  <si>
    <t>Matches</t>
  </si>
  <si>
    <t>Runs</t>
  </si>
  <si>
    <t>Average</t>
  </si>
  <si>
    <t>Strike Rate</t>
  </si>
  <si>
    <t>Outs</t>
  </si>
  <si>
    <t>Raina</t>
  </si>
  <si>
    <t>Jadeja</t>
  </si>
  <si>
    <t>Kohli</t>
  </si>
  <si>
    <t>Rohit</t>
  </si>
  <si>
    <t>Pandya</t>
  </si>
  <si>
    <t>Gill</t>
  </si>
  <si>
    <t>Samson</t>
  </si>
  <si>
    <t>Dube</t>
  </si>
  <si>
    <t>Jaiswal</t>
  </si>
  <si>
    <t>KL Rahul</t>
  </si>
  <si>
    <t>Gaikwad</t>
  </si>
  <si>
    <t>Abhiskek</t>
  </si>
  <si>
    <t>Tilak</t>
  </si>
  <si>
    <t>SKY</t>
  </si>
  <si>
    <t>Balls Faced</t>
  </si>
  <si>
    <t>4s</t>
  </si>
  <si>
    <t>6s</t>
  </si>
  <si>
    <t>50s</t>
  </si>
  <si>
    <t>100s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</si>
</sst>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1EA08-82B8-4CC2-B362-BA689A3080E1}">
  <dimension ref="A1:L16"/>
  <sheetViews>
    <sheetView tabSelected="1" workbookViewId="0">
      <selection activeCell="N11" sqref="N11"/>
    </sheetView>
  </sheetViews>
  <sheetFormatPr defaultRowHeight="14.4" x14ac:dyDescent="0.3"/>
  <cols>
    <col min="3" max="3" width="8.33203125" customWidth="1"/>
    <col min="6" max="7" width="10.109375" customWidth="1"/>
    <col min="8" max="8" width="9.44140625" customWidth="1"/>
    <col min="9" max="9" width="10.77734375" customWidth="1"/>
  </cols>
  <sheetData>
    <row r="1" spans="1:1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22</v>
      </c>
      <c r="G1" s="1" t="s">
        <v>6</v>
      </c>
      <c r="H1" s="1" t="s">
        <v>5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 x14ac:dyDescent="0.3">
      <c r="A2" s="2">
        <v>1</v>
      </c>
      <c r="B2" s="2" t="s">
        <v>0</v>
      </c>
      <c r="C2" s="2">
        <f ca="1">RANDBETWEEN(100,200)</f>
        <v>127</v>
      </c>
      <c r="D2" s="2">
        <f ca="1">RANDBETWEEN(5000,15000)</f>
        <v>12757</v>
      </c>
      <c r="E2" s="2">
        <f ca="1">RANDBETWEEN(0,C2)</f>
        <v>108</v>
      </c>
      <c r="F2" s="2">
        <f ca="1">RANDBETWEEN(5000,D2)</f>
        <v>12669</v>
      </c>
      <c r="G2" s="2">
        <f ca="1">ROUND(IF(F2=0,0,(D2/F2)*100),2)</f>
        <v>100.69</v>
      </c>
      <c r="H2" s="2">
        <f ca="1">ROUND(D2/E2,2)</f>
        <v>118.12</v>
      </c>
      <c r="I2" s="2">
        <f ca="1">RANDBETWEEN(100,300)</f>
        <v>101</v>
      </c>
      <c r="J2" s="2">
        <f ca="1">RANDBETWEEN(100,200)</f>
        <v>185</v>
      </c>
      <c r="K2" s="2">
        <f ca="1">RANDBETWEEN(20,50)</f>
        <v>37</v>
      </c>
      <c r="L2" s="2">
        <f ca="1">RANDBETWEEN(10,30)</f>
        <v>20</v>
      </c>
    </row>
    <row r="3" spans="1:12" x14ac:dyDescent="0.3">
      <c r="A3" s="2">
        <v>2</v>
      </c>
      <c r="B3" s="2" t="s">
        <v>8</v>
      </c>
      <c r="C3" s="2">
        <f t="shared" ref="C3:C16" ca="1" si="0">RANDBETWEEN(100,200)</f>
        <v>151</v>
      </c>
      <c r="D3" s="2">
        <f t="shared" ref="D3:D16" ca="1" si="1">RANDBETWEEN(5000,15000)</f>
        <v>8590</v>
      </c>
      <c r="E3" s="2">
        <f t="shared" ref="E3:E16" ca="1" si="2">RANDBETWEEN(0,C3)</f>
        <v>88</v>
      </c>
      <c r="F3" s="2">
        <f t="shared" ref="F3:F16" ca="1" si="3">RANDBETWEEN(5000,D3)</f>
        <v>5845</v>
      </c>
      <c r="G3" s="2">
        <f t="shared" ref="G3:G16" ca="1" si="4">ROUND(IF(F3=0,0,(D3/F3)*100),2)</f>
        <v>146.96</v>
      </c>
      <c r="H3" s="2">
        <f t="shared" ref="H3:H16" ca="1" si="5">ROUND(D3/E3,2)</f>
        <v>97.61</v>
      </c>
      <c r="I3" s="2">
        <f ca="1">RANDBETWEEN(100,300)</f>
        <v>222</v>
      </c>
      <c r="J3" s="2">
        <f t="shared" ref="J3:J16" ca="1" si="6">RANDBETWEEN(100,200)</f>
        <v>148</v>
      </c>
      <c r="K3" s="2">
        <f t="shared" ref="K3:K16" ca="1" si="7">RANDBETWEEN(20,50)</f>
        <v>32</v>
      </c>
      <c r="L3" s="2">
        <f t="shared" ref="L3:L16" ca="1" si="8">RANDBETWEEN(10,30)</f>
        <v>22</v>
      </c>
    </row>
    <row r="4" spans="1:12" x14ac:dyDescent="0.3">
      <c r="A4" s="2">
        <v>3</v>
      </c>
      <c r="B4" s="2" t="s">
        <v>9</v>
      </c>
      <c r="C4" s="2">
        <f ca="1">RANDBETWEEN(100,200)</f>
        <v>165</v>
      </c>
      <c r="D4" s="2">
        <f t="shared" ca="1" si="1"/>
        <v>5367</v>
      </c>
      <c r="E4" s="2">
        <f t="shared" ca="1" si="2"/>
        <v>77</v>
      </c>
      <c r="F4" s="2">
        <f t="shared" ca="1" si="3"/>
        <v>5005</v>
      </c>
      <c r="G4" s="2">
        <f t="shared" ca="1" si="4"/>
        <v>107.23</v>
      </c>
      <c r="H4" s="2">
        <f t="shared" ca="1" si="5"/>
        <v>69.7</v>
      </c>
      <c r="I4" s="2">
        <f ca="1">RANDBETWEEN(100,300)</f>
        <v>196</v>
      </c>
      <c r="J4" s="2">
        <f t="shared" ca="1" si="6"/>
        <v>178</v>
      </c>
      <c r="K4" s="2">
        <f t="shared" ca="1" si="7"/>
        <v>50</v>
      </c>
      <c r="L4" s="2">
        <f t="shared" ca="1" si="8"/>
        <v>17</v>
      </c>
    </row>
    <row r="5" spans="1:12" x14ac:dyDescent="0.3">
      <c r="A5" s="2">
        <v>4</v>
      </c>
      <c r="B5" s="2" t="s">
        <v>10</v>
      </c>
      <c r="C5" s="2">
        <f t="shared" ca="1" si="0"/>
        <v>148</v>
      </c>
      <c r="D5" s="2">
        <f t="shared" ca="1" si="1"/>
        <v>5007</v>
      </c>
      <c r="E5" s="2">
        <f t="shared" ca="1" si="2"/>
        <v>93</v>
      </c>
      <c r="F5" s="2">
        <f t="shared" ca="1" si="3"/>
        <v>5007</v>
      </c>
      <c r="G5" s="2">
        <f t="shared" ca="1" si="4"/>
        <v>100</v>
      </c>
      <c r="H5" s="2">
        <f t="shared" ca="1" si="5"/>
        <v>53.84</v>
      </c>
      <c r="I5" s="2">
        <f ca="1">RANDBETWEEN(100,300)</f>
        <v>131</v>
      </c>
      <c r="J5" s="2">
        <f t="shared" ca="1" si="6"/>
        <v>144</v>
      </c>
      <c r="K5" s="2">
        <f t="shared" ca="1" si="7"/>
        <v>26</v>
      </c>
      <c r="L5" s="2">
        <f t="shared" ca="1" si="8"/>
        <v>30</v>
      </c>
    </row>
    <row r="6" spans="1:12" x14ac:dyDescent="0.3">
      <c r="A6" s="2">
        <v>5</v>
      </c>
      <c r="B6" s="2" t="s">
        <v>11</v>
      </c>
      <c r="C6" s="2">
        <f t="shared" ca="1" si="0"/>
        <v>117</v>
      </c>
      <c r="D6" s="2">
        <f t="shared" ca="1" si="1"/>
        <v>13095</v>
      </c>
      <c r="E6" s="2">
        <f t="shared" ca="1" si="2"/>
        <v>30</v>
      </c>
      <c r="F6" s="2">
        <f t="shared" ca="1" si="3"/>
        <v>11204</v>
      </c>
      <c r="G6" s="2">
        <f t="shared" ca="1" si="4"/>
        <v>116.88</v>
      </c>
      <c r="H6" s="2">
        <f t="shared" ca="1" si="5"/>
        <v>436.5</v>
      </c>
      <c r="I6" s="2">
        <f t="shared" ref="I3:I16" ca="1" si="9">RANDBETWEEN(100,300)</f>
        <v>283</v>
      </c>
      <c r="J6" s="2">
        <f t="shared" ca="1" si="6"/>
        <v>113</v>
      </c>
      <c r="K6" s="2">
        <f t="shared" ca="1" si="7"/>
        <v>27</v>
      </c>
      <c r="L6" s="2">
        <f t="shared" ca="1" si="8"/>
        <v>10</v>
      </c>
    </row>
    <row r="7" spans="1:12" x14ac:dyDescent="0.3">
      <c r="A7" s="2">
        <v>6</v>
      </c>
      <c r="B7" s="2" t="s">
        <v>12</v>
      </c>
      <c r="C7" s="2">
        <f t="shared" ca="1" si="0"/>
        <v>192</v>
      </c>
      <c r="D7" s="2">
        <f t="shared" ca="1" si="1"/>
        <v>12293</v>
      </c>
      <c r="E7" s="2">
        <f t="shared" ca="1" si="2"/>
        <v>97</v>
      </c>
      <c r="F7" s="2">
        <f t="shared" ca="1" si="3"/>
        <v>5984</v>
      </c>
      <c r="G7" s="2">
        <f t="shared" ca="1" si="4"/>
        <v>205.43</v>
      </c>
      <c r="H7" s="2">
        <f t="shared" ca="1" si="5"/>
        <v>126.73</v>
      </c>
      <c r="I7" s="2">
        <f t="shared" ca="1" si="9"/>
        <v>225</v>
      </c>
      <c r="J7" s="2">
        <f t="shared" ca="1" si="6"/>
        <v>171</v>
      </c>
      <c r="K7" s="2">
        <f t="shared" ca="1" si="7"/>
        <v>50</v>
      </c>
      <c r="L7" s="2">
        <f t="shared" ca="1" si="8"/>
        <v>19</v>
      </c>
    </row>
    <row r="8" spans="1:12" x14ac:dyDescent="0.3">
      <c r="A8" s="2">
        <v>7</v>
      </c>
      <c r="B8" s="2" t="s">
        <v>13</v>
      </c>
      <c r="C8" s="2">
        <f t="shared" ca="1" si="0"/>
        <v>161</v>
      </c>
      <c r="D8" s="2">
        <f t="shared" ca="1" si="1"/>
        <v>7745</v>
      </c>
      <c r="E8" s="2">
        <f t="shared" ca="1" si="2"/>
        <v>113</v>
      </c>
      <c r="F8" s="2">
        <f t="shared" ca="1" si="3"/>
        <v>7598</v>
      </c>
      <c r="G8" s="2">
        <f t="shared" ca="1" si="4"/>
        <v>101.93</v>
      </c>
      <c r="H8" s="2">
        <f t="shared" ca="1" si="5"/>
        <v>68.540000000000006</v>
      </c>
      <c r="I8" s="2">
        <f t="shared" ca="1" si="9"/>
        <v>117</v>
      </c>
      <c r="J8" s="2">
        <f t="shared" ca="1" si="6"/>
        <v>137</v>
      </c>
      <c r="K8" s="2">
        <f t="shared" ca="1" si="7"/>
        <v>25</v>
      </c>
      <c r="L8" s="2">
        <f t="shared" ca="1" si="8"/>
        <v>30</v>
      </c>
    </row>
    <row r="9" spans="1:12" x14ac:dyDescent="0.3">
      <c r="A9" s="2">
        <v>8</v>
      </c>
      <c r="B9" s="2" t="s">
        <v>14</v>
      </c>
      <c r="C9" s="2">
        <f t="shared" ca="1" si="0"/>
        <v>161</v>
      </c>
      <c r="D9" s="2">
        <f t="shared" ca="1" si="1"/>
        <v>7494</v>
      </c>
      <c r="E9" s="2">
        <f t="shared" ca="1" si="2"/>
        <v>148</v>
      </c>
      <c r="F9" s="2">
        <f t="shared" ca="1" si="3"/>
        <v>7419</v>
      </c>
      <c r="G9" s="2">
        <f t="shared" ca="1" si="4"/>
        <v>101.01</v>
      </c>
      <c r="H9" s="2">
        <f t="shared" ca="1" si="5"/>
        <v>50.64</v>
      </c>
      <c r="I9" s="2">
        <f t="shared" ca="1" si="9"/>
        <v>264</v>
      </c>
      <c r="J9" s="2">
        <f t="shared" ca="1" si="6"/>
        <v>197</v>
      </c>
      <c r="K9" s="2">
        <f t="shared" ca="1" si="7"/>
        <v>31</v>
      </c>
      <c r="L9" s="2">
        <f t="shared" ca="1" si="8"/>
        <v>22</v>
      </c>
    </row>
    <row r="10" spans="1:12" x14ac:dyDescent="0.3">
      <c r="A10" s="2">
        <v>9</v>
      </c>
      <c r="B10" s="2" t="s">
        <v>15</v>
      </c>
      <c r="C10" s="2">
        <f t="shared" ca="1" si="0"/>
        <v>163</v>
      </c>
      <c r="D10" s="2">
        <f t="shared" ca="1" si="1"/>
        <v>6856</v>
      </c>
      <c r="E10" s="2">
        <f t="shared" ca="1" si="2"/>
        <v>153</v>
      </c>
      <c r="F10" s="2">
        <f t="shared" ca="1" si="3"/>
        <v>5537</v>
      </c>
      <c r="G10" s="2">
        <f t="shared" ca="1" si="4"/>
        <v>123.82</v>
      </c>
      <c r="H10" s="2">
        <f t="shared" ca="1" si="5"/>
        <v>44.81</v>
      </c>
      <c r="I10" s="2">
        <f t="shared" ca="1" si="9"/>
        <v>300</v>
      </c>
      <c r="J10" s="2">
        <f t="shared" ca="1" si="6"/>
        <v>164</v>
      </c>
      <c r="K10" s="2">
        <f t="shared" ca="1" si="7"/>
        <v>47</v>
      </c>
      <c r="L10" s="2">
        <f t="shared" ca="1" si="8"/>
        <v>15</v>
      </c>
    </row>
    <row r="11" spans="1:12" x14ac:dyDescent="0.3">
      <c r="A11" s="2">
        <v>10</v>
      </c>
      <c r="B11" s="2" t="s">
        <v>16</v>
      </c>
      <c r="C11" s="2">
        <f t="shared" ca="1" si="0"/>
        <v>197</v>
      </c>
      <c r="D11" s="2">
        <f t="shared" ca="1" si="1"/>
        <v>12890</v>
      </c>
      <c r="E11" s="2">
        <f t="shared" ca="1" si="2"/>
        <v>58</v>
      </c>
      <c r="F11" s="2">
        <f t="shared" ca="1" si="3"/>
        <v>9262</v>
      </c>
      <c r="G11" s="2">
        <f t="shared" ca="1" si="4"/>
        <v>139.16999999999999</v>
      </c>
      <c r="H11" s="2">
        <f t="shared" ca="1" si="5"/>
        <v>222.24</v>
      </c>
      <c r="I11" s="2">
        <f t="shared" ca="1" si="9"/>
        <v>227</v>
      </c>
      <c r="J11" s="2">
        <f t="shared" ca="1" si="6"/>
        <v>130</v>
      </c>
      <c r="K11" s="2">
        <f t="shared" ca="1" si="7"/>
        <v>45</v>
      </c>
      <c r="L11" s="2">
        <f t="shared" ca="1" si="8"/>
        <v>13</v>
      </c>
    </row>
    <row r="12" spans="1:12" x14ac:dyDescent="0.3">
      <c r="A12" s="2">
        <v>11</v>
      </c>
      <c r="B12" s="2" t="s">
        <v>17</v>
      </c>
      <c r="C12" s="2">
        <f t="shared" ca="1" si="0"/>
        <v>155</v>
      </c>
      <c r="D12" s="2">
        <f t="shared" ca="1" si="1"/>
        <v>6973</v>
      </c>
      <c r="E12" s="2">
        <f t="shared" ca="1" si="2"/>
        <v>32</v>
      </c>
      <c r="F12" s="2">
        <f t="shared" ca="1" si="3"/>
        <v>5430</v>
      </c>
      <c r="G12" s="2">
        <f t="shared" ca="1" si="4"/>
        <v>128.41999999999999</v>
      </c>
      <c r="H12" s="2">
        <f t="shared" ca="1" si="5"/>
        <v>217.91</v>
      </c>
      <c r="I12" s="2">
        <f t="shared" ca="1" si="9"/>
        <v>289</v>
      </c>
      <c r="J12" s="2">
        <f t="shared" ca="1" si="6"/>
        <v>126</v>
      </c>
      <c r="K12" s="2">
        <f t="shared" ca="1" si="7"/>
        <v>38</v>
      </c>
      <c r="L12" s="2">
        <f t="shared" ca="1" si="8"/>
        <v>22</v>
      </c>
    </row>
    <row r="13" spans="1:12" x14ac:dyDescent="0.3">
      <c r="A13" s="2">
        <v>12</v>
      </c>
      <c r="B13" s="2" t="s">
        <v>18</v>
      </c>
      <c r="C13" s="2">
        <f t="shared" ca="1" si="0"/>
        <v>154</v>
      </c>
      <c r="D13" s="2">
        <f t="shared" ca="1" si="1"/>
        <v>8024</v>
      </c>
      <c r="E13" s="2">
        <f t="shared" ca="1" si="2"/>
        <v>22</v>
      </c>
      <c r="F13" s="2">
        <f t="shared" ca="1" si="3"/>
        <v>6821</v>
      </c>
      <c r="G13" s="2">
        <f t="shared" ca="1" si="4"/>
        <v>117.64</v>
      </c>
      <c r="H13" s="2">
        <f t="shared" ca="1" si="5"/>
        <v>364.73</v>
      </c>
      <c r="I13" s="2">
        <f t="shared" ca="1" si="9"/>
        <v>190</v>
      </c>
      <c r="J13" s="2">
        <f t="shared" ca="1" si="6"/>
        <v>158</v>
      </c>
      <c r="K13" s="2">
        <f t="shared" ca="1" si="7"/>
        <v>30</v>
      </c>
      <c r="L13" s="2">
        <f t="shared" ca="1" si="8"/>
        <v>14</v>
      </c>
    </row>
    <row r="14" spans="1:12" x14ac:dyDescent="0.3">
      <c r="A14" s="2">
        <v>13</v>
      </c>
      <c r="B14" s="2" t="s">
        <v>19</v>
      </c>
      <c r="C14" s="2">
        <f t="shared" ca="1" si="0"/>
        <v>107</v>
      </c>
      <c r="D14" s="2">
        <f t="shared" ca="1" si="1"/>
        <v>5065</v>
      </c>
      <c r="E14" s="2">
        <f t="shared" ca="1" si="2"/>
        <v>47</v>
      </c>
      <c r="F14" s="2">
        <f t="shared" ca="1" si="3"/>
        <v>5064</v>
      </c>
      <c r="G14" s="2">
        <f t="shared" ca="1" si="4"/>
        <v>100.02</v>
      </c>
      <c r="H14" s="2">
        <f t="shared" ca="1" si="5"/>
        <v>107.77</v>
      </c>
      <c r="I14" s="2">
        <f t="shared" ca="1" si="9"/>
        <v>285</v>
      </c>
      <c r="J14" s="2">
        <f t="shared" ca="1" si="6"/>
        <v>169</v>
      </c>
      <c r="K14" s="2">
        <f t="shared" ca="1" si="7"/>
        <v>23</v>
      </c>
      <c r="L14" s="2">
        <f t="shared" ca="1" si="8"/>
        <v>24</v>
      </c>
    </row>
    <row r="15" spans="1:12" x14ac:dyDescent="0.3">
      <c r="A15" s="2">
        <v>14</v>
      </c>
      <c r="B15" s="2" t="s">
        <v>20</v>
      </c>
      <c r="C15" s="2">
        <f t="shared" ca="1" si="0"/>
        <v>145</v>
      </c>
      <c r="D15" s="2">
        <f t="shared" ca="1" si="1"/>
        <v>13312</v>
      </c>
      <c r="E15" s="2">
        <f t="shared" ca="1" si="2"/>
        <v>84</v>
      </c>
      <c r="F15" s="2">
        <f t="shared" ca="1" si="3"/>
        <v>11722</v>
      </c>
      <c r="G15" s="2">
        <f t="shared" ca="1" si="4"/>
        <v>113.56</v>
      </c>
      <c r="H15" s="2">
        <f t="shared" ca="1" si="5"/>
        <v>158.47999999999999</v>
      </c>
      <c r="I15" s="2">
        <f t="shared" ca="1" si="9"/>
        <v>188</v>
      </c>
      <c r="J15" s="2">
        <f t="shared" ca="1" si="6"/>
        <v>138</v>
      </c>
      <c r="K15" s="2">
        <f t="shared" ca="1" si="7"/>
        <v>47</v>
      </c>
      <c r="L15" s="2">
        <f t="shared" ca="1" si="8"/>
        <v>17</v>
      </c>
    </row>
    <row r="16" spans="1:12" x14ac:dyDescent="0.3">
      <c r="A16" s="2">
        <v>15</v>
      </c>
      <c r="B16" s="2" t="s">
        <v>21</v>
      </c>
      <c r="C16" s="2">
        <f t="shared" ca="1" si="0"/>
        <v>125</v>
      </c>
      <c r="D16" s="2">
        <f t="shared" ca="1" si="1"/>
        <v>5414</v>
      </c>
      <c r="E16" s="2">
        <f t="shared" ca="1" si="2"/>
        <v>5</v>
      </c>
      <c r="F16" s="2">
        <f t="shared" ca="1" si="3"/>
        <v>5093</v>
      </c>
      <c r="G16" s="2">
        <f t="shared" ca="1" si="4"/>
        <v>106.3</v>
      </c>
      <c r="H16" s="2">
        <f t="shared" ca="1" si="5"/>
        <v>1082.8</v>
      </c>
      <c r="I16" s="2">
        <f t="shared" ca="1" si="9"/>
        <v>180</v>
      </c>
      <c r="J16" s="2">
        <f t="shared" ca="1" si="6"/>
        <v>163</v>
      </c>
      <c r="K16" s="2">
        <f t="shared" ca="1" si="7"/>
        <v>32</v>
      </c>
      <c r="L16" s="2">
        <f t="shared" ca="1" si="8"/>
        <v>21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Jaimurugan Raja</dc:creator>
  <cp:lastModifiedBy>Jaimurugan Raja</cp:lastModifiedBy>
  <dcterms:created xsi:type="dcterms:W3CDTF">2025-11-21T15:12:03Z</dcterms:created>
  <dcterms:modified xsi:type="dcterms:W3CDTF">2025-11-23T08:23:01Z</dcterms:modified>
</cp:coreProperties>
</file>